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ost to build" sheetId="2" state="visible" r:id="rId2"/>
    <sheet name="Unit economics A" sheetId="3" state="visible" r:id="rId3"/>
    <sheet name="Path B live advisory" sheetId="4" state="visible" r:id="rId4"/>
    <sheet name="P&amp;L 3 year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23B6D"/>
      </patternFill>
    </fill>
    <fill>
      <patternFill patternType="solid">
        <fgColor rgb="00EEF4FB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5" fontId="0" fillId="4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20" customWidth="1" min="3" max="3"/>
    <col width="90" customWidth="1" min="4" max="4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Basis (see Sources)</t>
        </is>
      </c>
    </row>
    <row r="2">
      <c r="A2" s="2" t="inlineStr">
        <is>
          <t>PEOPLE</t>
        </is>
      </c>
      <c r="B2" s="3" t="n"/>
      <c r="C2" s="3" t="n"/>
      <c r="D2" s="3" t="n"/>
    </row>
    <row r="3">
      <c r="A3" s="3" t="inlineStr">
        <is>
          <t>Founder / engineer fully loaded cost</t>
        </is>
      </c>
      <c r="B3" s="4" t="n">
        <v>8000</v>
      </c>
      <c r="C3" s="3" t="inlineStr">
        <is>
          <t>$ per person-month</t>
        </is>
      </c>
      <c r="D3" s="3" t="inlineStr">
        <is>
          <t>Early-stage founder stipend plus tools; replace with real salaries when hiring</t>
        </is>
      </c>
    </row>
    <row r="4">
      <c r="A4" s="3" t="inlineStr">
        <is>
          <t>Engineers on the product (year 1)</t>
        </is>
      </c>
      <c r="B4" s="5" t="n">
        <v>2</v>
      </c>
      <c r="C4" s="3" t="inlineStr">
        <is>
          <t>people</t>
        </is>
      </c>
      <c r="D4" s="3" t="inlineStr">
        <is>
          <t>Two of the three founders on engineering, one on customers</t>
        </is>
      </c>
    </row>
    <row r="5">
      <c r="A5" s="3" t="inlineStr">
        <is>
          <t>Customer-facing founder</t>
        </is>
      </c>
      <c r="B5" s="5" t="n">
        <v>1</v>
      </c>
      <c r="C5" s="3" t="inlineStr">
        <is>
          <t>people</t>
        </is>
      </c>
      <c r="D5" s="3" t="inlineStr"/>
    </row>
    <row r="6">
      <c r="A6" s="3" t="inlineStr">
        <is>
          <t>Contract traffic engineer (review)</t>
        </is>
      </c>
      <c r="B6" s="4" t="n">
        <v>150</v>
      </c>
      <c r="C6" s="3" t="inlineStr">
        <is>
          <t>$ per hour</t>
        </is>
      </c>
      <c r="D6" s="3" t="inlineStr">
        <is>
          <t>HNTB 2024 rate schedule: Engineer I/II $115 to $155 per hour</t>
        </is>
      </c>
    </row>
    <row r="7">
      <c r="A7" s="2" t="inlineStr">
        <is>
          <t>COMPUTE AND HOSTING</t>
        </is>
      </c>
      <c r="B7" s="3" t="n"/>
      <c r="C7" s="3" t="n"/>
      <c r="D7" s="3" t="n"/>
    </row>
    <row r="8">
      <c r="A8" s="3" t="inlineStr">
        <is>
          <t>Cloud VM, 32 vCPU on demand</t>
        </is>
      </c>
      <c r="B8" s="6" t="n">
        <v>1.55</v>
      </c>
      <c r="C8" s="3" t="inlineStr">
        <is>
          <t>$ per hour</t>
        </is>
      </c>
      <c r="D8" s="3" t="inlineStr">
        <is>
          <t>Measured: n2-standard-32, us-west1, September 2026 runs</t>
        </is>
      </c>
    </row>
    <row r="9">
      <c r="A9" s="3" t="inlineStr">
        <is>
          <t>Machine hours per corridor study (calibration + 20-seed battery)</t>
        </is>
      </c>
      <c r="B9" s="5" t="n">
        <v>5</v>
      </c>
      <c r="C9" s="3" t="inlineStr">
        <is>
          <t>hours</t>
        </is>
      </c>
      <c r="D9" s="3" t="inlineStr">
        <is>
          <t>Measured: I-24 battery 1.5 to 3.4 h; allow 5 h with reruns</t>
        </is>
      </c>
    </row>
    <row r="10">
      <c r="A10" s="3" t="inlineStr">
        <is>
          <t>Machine hours per controller sweep (add-on)</t>
        </is>
      </c>
      <c r="B10" s="5" t="n">
        <v>4</v>
      </c>
      <c r="C10" s="3" t="inlineStr">
        <is>
          <t>hours</t>
        </is>
      </c>
      <c r="D10" s="3" t="inlineStr">
        <is>
          <t>Measured: headway-cap sweep 2.8 h; 500-run sweep about 7 h</t>
        </is>
      </c>
    </row>
    <row r="11">
      <c r="A11" s="3" t="inlineStr">
        <is>
          <t>Hosting per customer workspace</t>
        </is>
      </c>
      <c r="B11" s="4" t="n">
        <v>60</v>
      </c>
      <c r="C11" s="3" t="inlineStr">
        <is>
          <t>$ per month</t>
        </is>
      </c>
      <c r="D11" s="3" t="inlineStr">
        <is>
          <t>Small always-on VM plus object storage; single-tenant</t>
        </is>
      </c>
    </row>
    <row r="12">
      <c r="A12" s="3" t="inlineStr">
        <is>
          <t>Shared infrastructure (CI, domains, monitoring)</t>
        </is>
      </c>
      <c r="B12" s="4" t="n">
        <v>150</v>
      </c>
      <c r="C12" s="3" t="inlineStr">
        <is>
          <t>$ per month</t>
        </is>
      </c>
      <c r="D12" s="3" t="inlineStr">
        <is>
          <t>Estimate</t>
        </is>
      </c>
    </row>
    <row r="13">
      <c r="A13" s="3" t="inlineStr">
        <is>
          <t>Storage per study kept for a year</t>
        </is>
      </c>
      <c r="B13" s="4" t="n">
        <v>1</v>
      </c>
      <c r="C13" s="3" t="inlineStr">
        <is>
          <t>$ per study</t>
        </is>
      </c>
      <c r="D13" s="3" t="inlineStr">
        <is>
          <t>About 2 GB per study at object-storage prices</t>
        </is>
      </c>
    </row>
    <row r="14">
      <c r="A14" s="2" t="inlineStr">
        <is>
          <t>LABOUR PER STUDY</t>
        </is>
      </c>
      <c r="B14" s="3" t="n"/>
      <c r="C14" s="3" t="n"/>
      <c r="D14" s="3" t="n"/>
    </row>
    <row r="15">
      <c r="A15" s="3" t="inlineStr">
        <is>
          <t>Engineer hours per study, corridor-specific decisions</t>
        </is>
      </c>
      <c r="B15" s="5" t="n">
        <v>8</v>
      </c>
      <c r="C15" s="3" t="inlineStr">
        <is>
          <t>hours</t>
        </is>
      </c>
      <c r="D15" s="3" t="inlineStr">
        <is>
          <t>Measured on I-24: about one working day; the reusable part is now code</t>
        </is>
      </c>
    </row>
    <row r="16">
      <c r="A16" s="3" t="inlineStr">
        <is>
          <t>Engineer hours per new data format (loader)</t>
        </is>
      </c>
      <c r="B16" s="5" t="n">
        <v>8</v>
      </c>
      <c r="C16" s="3" t="inlineStr">
        <is>
          <t>hours</t>
        </is>
      </c>
      <c r="D16" s="3" t="inlineStr">
        <is>
          <t>About a day of engineering (dossier)</t>
        </is>
      </c>
    </row>
    <row r="17">
      <c r="A17" s="3" t="inlineStr">
        <is>
          <t>Review hours per study (contract engineer)</t>
        </is>
      </c>
      <c r="B17" s="5" t="n">
        <v>4</v>
      </c>
      <c r="C17" s="3" t="inlineStr">
        <is>
          <t>hours</t>
        </is>
      </c>
      <c r="D17" s="3" t="inlineStr">
        <is>
          <t>Estimate</t>
        </is>
      </c>
    </row>
    <row r="18">
      <c r="A18" s="3" t="inlineStr">
        <is>
          <t>Sales hours per closed study</t>
        </is>
      </c>
      <c r="B18" s="5" t="n">
        <v>6</v>
      </c>
      <c r="C18" s="3" t="inlineStr">
        <is>
          <t>hours</t>
        </is>
      </c>
      <c r="D18" s="3" t="inlineStr">
        <is>
          <t>Estimate: two calls and a proposal</t>
        </is>
      </c>
    </row>
    <row r="19">
      <c r="A19" s="2" t="inlineStr">
        <is>
          <t>PRICES, PATH A (studies and workspace)</t>
        </is>
      </c>
      <c r="B19" s="3" t="n"/>
      <c r="C19" s="3" t="n"/>
      <c r="D19" s="3" t="n"/>
    </row>
    <row r="20">
      <c r="A20" s="3" t="inlineStr">
        <is>
          <t>Price per corridor study, consultancy</t>
        </is>
      </c>
      <c r="B20" s="4" t="n">
        <v>3500</v>
      </c>
      <c r="C20" s="3" t="inlineStr">
        <is>
          <t>$</t>
        </is>
      </c>
      <c r="D20" s="3" t="inlineStr">
        <is>
          <t>Dossier hypothesis: $1,500 to $5,000; mid-point</t>
        </is>
      </c>
    </row>
    <row r="21">
      <c r="A21" s="3" t="inlineStr">
        <is>
          <t>Price per agency pilot</t>
        </is>
      </c>
      <c r="B21" s="4" t="n">
        <v>50000</v>
      </c>
      <c r="C21" s="3" t="inlineStr">
        <is>
          <t>$</t>
        </is>
      </c>
      <c r="D21" s="3" t="inlineStr">
        <is>
          <t>Dossier hypothesis: $25,000 to $75,000</t>
        </is>
      </c>
    </row>
    <row r="22">
      <c r="A22" s="3" t="inlineStr">
        <is>
          <t>Annual workspace, consultancy</t>
        </is>
      </c>
      <c r="B22" s="4" t="n">
        <v>20000</v>
      </c>
      <c r="C22" s="3" t="inlineStr">
        <is>
          <t>$ per year</t>
        </is>
      </c>
      <c r="D22" s="3" t="inlineStr">
        <is>
          <t>Dossier hypothesis: $10,000 to $30,000</t>
        </is>
      </c>
    </row>
    <row r="23">
      <c r="A23" s="3" t="inlineStr">
        <is>
          <t>Annual lab licence</t>
        </is>
      </c>
      <c r="B23" s="4" t="n">
        <v>2500</v>
      </c>
      <c r="C23" s="3" t="inlineStr">
        <is>
          <t>$ per year</t>
        </is>
      </c>
      <c r="D23" s="3" t="inlineStr">
        <is>
          <t>Free to $5,000</t>
        </is>
      </c>
    </row>
    <row r="24">
      <c r="A24" s="3" t="inlineStr">
        <is>
          <t>Data onboarding, new format</t>
        </is>
      </c>
      <c r="B24" s="4" t="n">
        <v>3500</v>
      </c>
      <c r="C24" s="3" t="inlineStr">
        <is>
          <t>$</t>
        </is>
      </c>
      <c r="D24" s="3" t="inlineStr">
        <is>
          <t>$2,000 to $5,000 per format</t>
        </is>
      </c>
    </row>
    <row r="25">
      <c r="A25" s="3" t="inlineStr">
        <is>
          <t>Controller sweep add-on</t>
        </is>
      </c>
      <c r="B25" s="4" t="n">
        <v>2500</v>
      </c>
      <c r="C25" s="3" t="inlineStr">
        <is>
          <t>$</t>
        </is>
      </c>
      <c r="D25" s="3" t="inlineStr">
        <is>
          <t>Priced on compute plus review</t>
        </is>
      </c>
    </row>
    <row r="26">
      <c r="A26" s="3" t="inlineStr">
        <is>
          <t>What the study replaces (engineer weeks by hand)</t>
        </is>
      </c>
      <c r="B26" s="5" t="n">
        <v>2</v>
      </c>
      <c r="C26" s="3" t="inlineStr">
        <is>
          <t>weeks</t>
        </is>
      </c>
      <c r="D26" s="3" t="inlineStr">
        <is>
          <t>Dossier: weeks of expert time per corridor</t>
        </is>
      </c>
    </row>
    <row r="27">
      <c r="A27" s="3" t="inlineStr">
        <is>
          <t>Hours per week billed</t>
        </is>
      </c>
      <c r="B27" s="5" t="n">
        <v>40</v>
      </c>
      <c r="C27" s="3" t="inlineStr">
        <is>
          <t>hours</t>
        </is>
      </c>
      <c r="D27" s="3" t="inlineStr"/>
    </row>
    <row r="28">
      <c r="A28" s="3" t="inlineStr">
        <is>
          <t>Consultant billing rate, senior modeler</t>
        </is>
      </c>
      <c r="B28" s="4" t="n">
        <v>200</v>
      </c>
      <c r="C28" s="3" t="inlineStr">
        <is>
          <t>$ per hour</t>
        </is>
      </c>
      <c r="D28" s="3" t="inlineStr">
        <is>
          <t>HNTB Chief Planner $226 to $250; Engineer II $141 to $155; $200 as a blended senior rate</t>
        </is>
      </c>
    </row>
    <row r="29">
      <c r="A29" s="2" t="inlineStr">
        <is>
          <t>PRICES AND COSTS, PATH B (live speed advisory)</t>
        </is>
      </c>
      <c r="B29" s="3" t="n"/>
      <c r="C29" s="3" t="n"/>
      <c r="D29" s="3" t="n"/>
    </row>
    <row r="30">
      <c r="A30" s="3" t="inlineStr">
        <is>
          <t>Corridor length</t>
        </is>
      </c>
      <c r="B30" s="5" t="n">
        <v>10</v>
      </c>
      <c r="C30" s="3" t="inlineStr">
        <is>
          <t>miles</t>
        </is>
      </c>
      <c r="D30" s="3" t="inlineStr">
        <is>
          <t>A study corridor like the I-24 SMART Corridor section (17 miles) or half of it</t>
        </is>
      </c>
    </row>
    <row r="31">
      <c r="A31" s="3" t="inlineStr">
        <is>
          <t>Radar detector sites per mile (both directions)</t>
        </is>
      </c>
      <c r="B31" s="5" t="n">
        <v>2</v>
      </c>
      <c r="C31" s="3" t="inlineStr">
        <is>
          <t>sites per mile</t>
        </is>
      </c>
      <c r="D31" s="3" t="inlineStr">
        <is>
          <t>Half-mile spacing like the SMART Corridor gantries</t>
        </is>
      </c>
    </row>
    <row r="32">
      <c r="A32" s="3" t="inlineStr">
        <is>
          <t>Radar detector installed cost per site</t>
        </is>
      </c>
      <c r="B32" s="4" t="n">
        <v>11500</v>
      </c>
      <c r="C32" s="3" t="inlineStr">
        <is>
          <t>$ per site</t>
        </is>
      </c>
      <c r="D32" s="3" t="inlineStr">
        <is>
          <t>ITS Costs Database: $5,000 (existing pole) to $11,500 (new pole) per site</t>
        </is>
      </c>
    </row>
    <row r="33">
      <c r="A33" s="3" t="inlineStr">
        <is>
          <t>Radar detector O&amp;M per site per year</t>
        </is>
      </c>
      <c r="B33" s="4" t="n">
        <v>800</v>
      </c>
      <c r="C33" s="3" t="inlineStr">
        <is>
          <t>$ per year</t>
        </is>
      </c>
      <c r="D33" s="3" t="inlineStr">
        <is>
          <t>Estimate: 7 percent of capital</t>
        </is>
      </c>
    </row>
    <row r="34">
      <c r="A34" s="3" t="inlineStr">
        <is>
          <t>Probe speed data feed, per centreline mile per year</t>
        </is>
      </c>
      <c r="B34" s="4" t="n">
        <v>750</v>
      </c>
      <c r="C34" s="3" t="inlineStr">
        <is>
          <t>$ per mile-year</t>
        </is>
      </c>
      <c r="D34" s="3" t="inlineStr">
        <is>
          <t>I-95 Corridor Coalition contract about $750 per centreline mile; Michigan $250,000 statewide</t>
        </is>
      </c>
    </row>
    <row r="35">
      <c r="A35" s="3" t="inlineStr">
        <is>
          <t>Edge compute and comms per corridor per month</t>
        </is>
      </c>
      <c r="B35" s="4" t="n">
        <v>400</v>
      </c>
      <c r="C35" s="3" t="inlineStr">
        <is>
          <t>$ per month</t>
        </is>
      </c>
      <c r="D35" s="3" t="inlineStr">
        <is>
          <t>One small server or cloud instance plus cellular backhaul</t>
        </is>
      </c>
    </row>
    <row r="36">
      <c r="A36" s="3" t="inlineStr">
        <is>
          <t>New VSL gantry, all-in</t>
        </is>
      </c>
      <c r="B36" s="4" t="n">
        <v>900000</v>
      </c>
      <c r="C36" s="3" t="inlineStr">
        <is>
          <t>$ per gantry</t>
        </is>
      </c>
      <c r="D36" s="3" t="inlineStr">
        <is>
          <t>TDOT I-24 SMART Corridor: 67 gantries, reported $45M to $64M</t>
        </is>
      </c>
    </row>
    <row r="37">
      <c r="A37" s="3" t="inlineStr">
        <is>
          <t>Gantries needed if the corridor has none</t>
        </is>
      </c>
      <c r="B37" s="5" t="n">
        <v>0</v>
      </c>
      <c r="C37" s="3" t="inlineStr">
        <is>
          <t>gantries</t>
        </is>
      </c>
      <c r="D37" s="3" t="inlineStr">
        <is>
          <t>Set to 0 to sell into corridors that already have signs or use connected-vehicle channels</t>
        </is>
      </c>
    </row>
    <row r="38">
      <c r="A38" s="3" t="inlineStr">
        <is>
          <t>Annual subscription per corridor, live advisory</t>
        </is>
      </c>
      <c r="B38" s="4" t="n">
        <v>60000</v>
      </c>
      <c r="C38" s="3" t="inlineStr">
        <is>
          <t>$ per year</t>
        </is>
      </c>
      <c r="D38" s="3" t="inlineStr">
        <is>
          <t>Hypothesis: priced under an agency's probe-data spend plus one engineer-month</t>
        </is>
      </c>
    </row>
    <row r="39">
      <c r="A39" s="3" t="inlineStr">
        <is>
          <t>Engineering months to a first live corridor</t>
        </is>
      </c>
      <c r="B39" s="5" t="n">
        <v>9</v>
      </c>
      <c r="C39" s="3" t="inlineStr">
        <is>
          <t>person-months</t>
        </is>
      </c>
      <c r="D39" s="3" t="inlineStr">
        <is>
          <t>Estimator tier (macro CTM plus Kalman) is designed but not built; sensing integration; agency approvals</t>
        </is>
      </c>
    </row>
    <row r="40">
      <c r="A40" s="2" t="inlineStr">
        <is>
          <t>VOLUMES BY YEAR (base case)</t>
        </is>
      </c>
      <c r="B40" s="3" t="n"/>
      <c r="C40" s="3" t="n"/>
      <c r="D40" s="3" t="n"/>
    </row>
    <row r="41">
      <c r="A41" s="3" t="inlineStr">
        <is>
          <t>Studies sold, year 1</t>
        </is>
      </c>
      <c r="B41" s="5" t="n">
        <v>4</v>
      </c>
      <c r="C41" s="3" t="inlineStr">
        <is>
          <t>studies</t>
        </is>
      </c>
      <c r="D41" s="3" t="inlineStr">
        <is>
          <t>Dossier year-one plan: three to five</t>
        </is>
      </c>
    </row>
    <row r="42">
      <c r="A42" s="3" t="inlineStr">
        <is>
          <t>Studies sold, year 2</t>
        </is>
      </c>
      <c r="B42" s="5" t="n">
        <v>15</v>
      </c>
      <c r="C42" s="3" t="inlineStr">
        <is>
          <t>studies</t>
        </is>
      </c>
      <c r="D42" s="3" t="inlineStr"/>
    </row>
    <row r="43">
      <c r="A43" s="3" t="inlineStr">
        <is>
          <t>Studies sold, year 3</t>
        </is>
      </c>
      <c r="B43" s="5" t="n">
        <v>40</v>
      </c>
      <c r="C43" s="3" t="inlineStr">
        <is>
          <t>studies</t>
        </is>
      </c>
      <c r="D43" s="3" t="inlineStr"/>
    </row>
    <row r="44">
      <c r="A44" s="3" t="inlineStr">
        <is>
          <t>Agency pilots, year 1</t>
        </is>
      </c>
      <c r="B44" s="5" t="n">
        <v>1</v>
      </c>
      <c r="C44" s="3" t="inlineStr">
        <is>
          <t>pilots</t>
        </is>
      </c>
      <c r="D44" s="3" t="inlineStr">
        <is>
          <t>One pilot around I-24</t>
        </is>
      </c>
    </row>
    <row r="45">
      <c r="A45" s="3" t="inlineStr">
        <is>
          <t>Agency pilots, year 2</t>
        </is>
      </c>
      <c r="B45" s="5" t="n">
        <v>3</v>
      </c>
      <c r="C45" s="3" t="inlineStr">
        <is>
          <t>pilots</t>
        </is>
      </c>
      <c r="D45" s="3" t="inlineStr"/>
    </row>
    <row r="46">
      <c r="A46" s="3" t="inlineStr">
        <is>
          <t>Agency pilots, year 3</t>
        </is>
      </c>
      <c r="B46" s="5" t="n">
        <v>6</v>
      </c>
      <c r="C46" s="3" t="inlineStr">
        <is>
          <t>pilots</t>
        </is>
      </c>
      <c r="D46" s="3" t="inlineStr"/>
    </row>
    <row r="47">
      <c r="A47" s="3" t="inlineStr">
        <is>
          <t>Workspaces, year 1</t>
        </is>
      </c>
      <c r="B47" s="5" t="n">
        <v>0</v>
      </c>
      <c r="C47" s="3" t="inlineStr">
        <is>
          <t>subscriptions</t>
        </is>
      </c>
      <c r="D47" s="3" t="inlineStr"/>
    </row>
    <row r="48">
      <c r="A48" s="3" t="inlineStr">
        <is>
          <t>Workspaces, year 2</t>
        </is>
      </c>
      <c r="B48" s="5" t="n">
        <v>3</v>
      </c>
      <c r="C48" s="3" t="inlineStr">
        <is>
          <t>subscriptions</t>
        </is>
      </c>
      <c r="D48" s="3" t="inlineStr"/>
    </row>
    <row r="49">
      <c r="A49" s="3" t="inlineStr">
        <is>
          <t>Workspaces, year 3</t>
        </is>
      </c>
      <c r="B49" s="5" t="n">
        <v>10</v>
      </c>
      <c r="C49" s="3" t="inlineStr">
        <is>
          <t>subscriptions</t>
        </is>
      </c>
      <c r="D49" s="3" t="inlineStr"/>
    </row>
    <row r="50">
      <c r="A50" s="3" t="inlineStr">
        <is>
          <t>Lab licences, year 1</t>
        </is>
      </c>
      <c r="B50" s="5" t="n">
        <v>2</v>
      </c>
      <c r="C50" s="3" t="inlineStr">
        <is>
          <t>licences</t>
        </is>
      </c>
      <c r="D50" s="3" t="inlineStr">
        <is>
          <t>Dossier: two university users</t>
        </is>
      </c>
    </row>
    <row r="51">
      <c r="A51" s="3" t="inlineStr">
        <is>
          <t>Lab licences, year 2</t>
        </is>
      </c>
      <c r="B51" s="5" t="n">
        <v>4</v>
      </c>
      <c r="C51" s="3" t="inlineStr">
        <is>
          <t>licences</t>
        </is>
      </c>
      <c r="D51" s="3" t="inlineStr"/>
    </row>
    <row r="52">
      <c r="A52" s="3" t="inlineStr">
        <is>
          <t>Lab licences, year 3</t>
        </is>
      </c>
      <c r="B52" s="5" t="n">
        <v>6</v>
      </c>
      <c r="C52" s="3" t="inlineStr">
        <is>
          <t>licences</t>
        </is>
      </c>
      <c r="D52" s="3" t="inlineStr"/>
    </row>
    <row r="53">
      <c r="A53" s="3" t="inlineStr">
        <is>
          <t>Live-advisory corridors, year 1</t>
        </is>
      </c>
      <c r="B53" s="5" t="n">
        <v>0</v>
      </c>
      <c r="C53" s="3" t="inlineStr">
        <is>
          <t>corridors</t>
        </is>
      </c>
      <c r="D53" s="3" t="inlineStr">
        <is>
          <t>Path B needs the estimator tier and an agency partner first</t>
        </is>
      </c>
    </row>
    <row r="54">
      <c r="A54" s="3" t="inlineStr">
        <is>
          <t>Live-advisory corridors, year 2</t>
        </is>
      </c>
      <c r="B54" s="5" t="n">
        <v>1</v>
      </c>
      <c r="C54" s="3" t="inlineStr">
        <is>
          <t>corridors</t>
        </is>
      </c>
      <c r="D54" s="3" t="inlineStr"/>
    </row>
    <row r="55">
      <c r="A55" s="3" t="inlineStr">
        <is>
          <t>Live-advisory corridors, year 3</t>
        </is>
      </c>
      <c r="B55" s="5" t="n">
        <v>3</v>
      </c>
      <c r="C55" s="3" t="inlineStr">
        <is>
          <t>corridors</t>
        </is>
      </c>
      <c r="D5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40" customWidth="1" min="8" max="8"/>
  </cols>
  <sheetData>
    <row r="1">
      <c r="A1" s="1" t="inlineStr">
        <is>
          <t>Phase (dossier timeline)</t>
        </is>
      </c>
      <c r="B1" s="1" t="inlineStr">
        <is>
          <t>Person-months</t>
        </is>
      </c>
      <c r="C1" s="1" t="inlineStr">
        <is>
          <t>Cloud hours</t>
        </is>
      </c>
      <c r="D1" s="1" t="inlineStr">
        <is>
          <t>People cost</t>
        </is>
      </c>
      <c r="E1" s="1" t="inlineStr">
        <is>
          <t>Cloud cost</t>
        </is>
      </c>
      <c r="F1" s="1" t="inlineStr">
        <is>
          <t>Other</t>
        </is>
      </c>
      <c r="G1" s="1" t="inlineStr">
        <is>
          <t>Total</t>
        </is>
      </c>
      <c r="H1" s="1" t="inlineStr">
        <is>
          <t>Depends on</t>
        </is>
      </c>
    </row>
    <row r="2">
      <c r="A2" s="3" t="inlineStr">
        <is>
          <t>Validated corridor: radar counts, merge behaviour, battery rerun, second corridor</t>
        </is>
      </c>
      <c r="B2" s="5" t="n">
        <v>2</v>
      </c>
      <c r="C2" s="5" t="n">
        <v>20</v>
      </c>
      <c r="D2" s="7">
        <f>B2*Assumptions!$B$3</f>
        <v/>
      </c>
      <c r="E2" s="7">
        <f>C2*Assumptions!$B$8</f>
        <v/>
      </c>
      <c r="F2" s="4" t="n">
        <v>0</v>
      </c>
      <c r="G2" s="7">
        <f>D2+E2+F2</f>
        <v/>
      </c>
      <c r="H2" s="3" t="inlineStr">
        <is>
          <t>Radar counts; PeMS account</t>
        </is>
      </c>
    </row>
    <row r="3">
      <c r="A3" s="3" t="inlineStr">
        <is>
          <t>Capacity-aware controller and its sweep</t>
        </is>
      </c>
      <c r="B3" s="5" t="n">
        <v>1.5</v>
      </c>
      <c r="C3" s="5" t="n">
        <v>12</v>
      </c>
      <c r="D3" s="7">
        <f>B3*Assumptions!$B$3</f>
        <v/>
      </c>
      <c r="E3" s="7">
        <f>C3*Assumptions!$B$8</f>
        <v/>
      </c>
      <c r="F3" s="4" t="n">
        <v>0</v>
      </c>
      <c r="G3" s="7">
        <f>D3+E3+F3</f>
        <v/>
      </c>
      <c r="H3" s="3" t="inlineStr">
        <is>
          <t>Calibrated corridor</t>
        </is>
      </c>
    </row>
    <row r="4">
      <c r="A4" s="3" t="inlineStr">
        <is>
          <t>Pilot readiness: auth, per-user projects, hosted deployment, versioned release</t>
        </is>
      </c>
      <c r="B4" s="5" t="n">
        <v>1.5</v>
      </c>
      <c r="C4" s="5" t="n">
        <v>5</v>
      </c>
      <c r="D4" s="7">
        <f>B4*Assumptions!$B$3</f>
        <v/>
      </c>
      <c r="E4" s="7">
        <f>C4*Assumptions!$B$8</f>
        <v/>
      </c>
      <c r="F4" s="4" t="n">
        <v>1500</v>
      </c>
      <c r="G4" s="7">
        <f>D4+E4+F4</f>
        <v/>
      </c>
      <c r="H4" s="3" t="inlineStr">
        <is>
          <t>Hosting and identity decisions</t>
        </is>
      </c>
    </row>
    <row r="5">
      <c r="A5" s="3" t="inlineStr">
        <is>
          <t>First agency pilot: their corridor, their data, a submittable report</t>
        </is>
      </c>
      <c r="B5" s="5" t="n">
        <v>2.5</v>
      </c>
      <c r="C5" s="5" t="n">
        <v>10</v>
      </c>
      <c r="D5" s="7">
        <f>B5*Assumptions!$B$3</f>
        <v/>
      </c>
      <c r="E5" s="7">
        <f>C5*Assumptions!$B$8</f>
        <v/>
      </c>
      <c r="F5" s="4" t="n">
        <v>2000</v>
      </c>
      <c r="G5" s="7">
        <f>D5+E5+F5</f>
        <v/>
      </c>
      <c r="H5" s="3" t="inlineStr">
        <is>
          <t>A champion at the agency</t>
        </is>
      </c>
    </row>
    <row r="6">
      <c r="A6" s="3" t="inlineStr">
        <is>
          <t>Product: multi-tenant hosting, billing, onboarding, documentation site</t>
        </is>
      </c>
      <c r="B6" s="5" t="n">
        <v>3</v>
      </c>
      <c r="C6" s="5" t="n">
        <v>10</v>
      </c>
      <c r="D6" s="7">
        <f>B6*Assumptions!$B$3</f>
        <v/>
      </c>
      <c r="E6" s="7">
        <f>C6*Assumptions!$B$8</f>
        <v/>
      </c>
      <c r="F6" s="4" t="n">
        <v>3000</v>
      </c>
      <c r="G6" s="7">
        <f>D6+E6+F6</f>
        <v/>
      </c>
      <c r="H6" s="3" t="inlineStr">
        <is>
          <t>Paying users</t>
        </is>
      </c>
    </row>
    <row r="7">
      <c r="A7" s="3" t="inlineStr">
        <is>
          <t>Path B foundation: state estimator tier (CTM + Kalman), sensor and probe-data ingestion, advisory interface</t>
        </is>
      </c>
      <c r="B7" s="5" t="n">
        <v>9</v>
      </c>
      <c r="C7" s="5" t="n">
        <v>60</v>
      </c>
      <c r="D7" s="7">
        <f>B7*Assumptions!$B$3</f>
        <v/>
      </c>
      <c r="E7" s="7">
        <f>C7*Assumptions!$B$8</f>
        <v/>
      </c>
      <c r="F7" s="4" t="n">
        <v>15000</v>
      </c>
      <c r="G7" s="7">
        <f>D7+E7+F7</f>
        <v/>
      </c>
      <c r="H7" s="3" t="inlineStr">
        <is>
          <t>An agency partner with sensors or signs</t>
        </is>
      </c>
    </row>
    <row r="8">
      <c r="A8" s="8" t="inlineStr">
        <is>
          <t>Path A to product (first five phases)</t>
        </is>
      </c>
      <c r="B8" s="3">
        <f>SUM(B2:B6)</f>
        <v/>
      </c>
      <c r="C8" s="3" t="n"/>
      <c r="D8" s="3" t="n"/>
      <c r="E8" s="3" t="n"/>
      <c r="F8" s="3" t="n"/>
      <c r="G8" s="7">
        <f>SUM(G2:G6)</f>
        <v/>
      </c>
      <c r="H8" s="3" t="n"/>
    </row>
    <row r="9">
      <c r="A9" s="8" t="inlineStr">
        <is>
          <t>Path A plus Path B foundation</t>
        </is>
      </c>
      <c r="B9" s="3">
        <f>SUM(B2:B7)</f>
        <v/>
      </c>
      <c r="C9" s="3" t="n"/>
      <c r="D9" s="3" t="n"/>
      <c r="E9" s="3" t="n"/>
      <c r="F9" s="3" t="n"/>
      <c r="G9" s="7">
        <f>SUM(G2:G7)</f>
        <v/>
      </c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inlineStr">
        <is>
          <t>Reading it: at founder-stipend cost the whole software path is a low six-figure build; the same plan with three market-rate engineers is roughly three to four times that. Cloud is a rounding error: the measured runs cost single-digit dollars each.</t>
        </is>
      </c>
      <c r="B11" s="3" t="n"/>
      <c r="C11" s="3" t="n"/>
      <c r="D11" s="3" t="n"/>
      <c r="E11" s="3" t="n"/>
      <c r="F11" s="3" t="n"/>
      <c r="G11" s="3" t="n"/>
      <c r="H1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90" customWidth="1" min="5" max="5"/>
  </cols>
  <sheetData>
    <row r="1">
      <c r="A1" s="1" t="inlineStr">
        <is>
          <t>Item</t>
        </is>
      </c>
      <c r="B1" s="1" t="inlineStr">
        <is>
          <t>Per corridor study</t>
        </is>
      </c>
      <c r="C1" s="1" t="inlineStr">
        <is>
          <t>Per agency pilot</t>
        </is>
      </c>
      <c r="D1" s="1" t="inlineStr">
        <is>
          <t>Per workspace-year</t>
        </is>
      </c>
      <c r="E1" s="1" t="inlineStr">
        <is>
          <t>Note</t>
        </is>
      </c>
    </row>
    <row r="2">
      <c r="A2" s="3" t="inlineStr">
        <is>
          <t>Price</t>
        </is>
      </c>
      <c r="B2" s="7">
        <f>Assumptions!$B$20</f>
        <v/>
      </c>
      <c r="C2" s="7">
        <f>Assumptions!$B$21</f>
        <v/>
      </c>
      <c r="D2" s="7">
        <f>Assumptions!$B$22</f>
        <v/>
      </c>
      <c r="E2" s="3" t="inlineStr">
        <is>
          <t>Assumptions</t>
        </is>
      </c>
    </row>
    <row r="3">
      <c r="A3" s="3" t="inlineStr">
        <is>
          <t>Cloud compute</t>
        </is>
      </c>
      <c r="B3" s="7">
        <f>Assumptions!$B$9*Assumptions!$B$8</f>
        <v/>
      </c>
      <c r="C3" s="7">
        <f>3*Assumptions!$B$9*Assumptions!$B$8+Assumptions!$B$10*Assumptions!$B$8</f>
        <v/>
      </c>
      <c r="D3" s="7">
        <f>12*Assumptions!$B$11+10*Assumptions!$B$9*Assumptions!$B$8</f>
        <v/>
      </c>
      <c r="E3" s="3" t="inlineStr">
        <is>
          <t>A pilot is about three studies plus a sweep; a workspace assumes ten studies a year</t>
        </is>
      </c>
    </row>
    <row r="4">
      <c r="A4" s="3" t="inlineStr">
        <is>
          <t>Storage</t>
        </is>
      </c>
      <c r="B4" s="7">
        <f>Assumptions!$B$13</f>
        <v/>
      </c>
      <c r="C4" s="7">
        <f>3*Assumptions!$B$13</f>
        <v/>
      </c>
      <c r="D4" s="7">
        <f>10*Assumptions!$B$13</f>
        <v/>
      </c>
      <c r="E4" s="3" t="inlineStr"/>
    </row>
    <row r="5">
      <c r="A5" s="3" t="inlineStr">
        <is>
          <t>Engineer time (founder cost)</t>
        </is>
      </c>
      <c r="B5" s="7">
        <f>Assumptions!$B$15/160*Assumptions!$B$3</f>
        <v/>
      </c>
      <c r="C5" s="7">
        <f>(3*Assumptions!$B$15+Assumptions!$B$16+40)/160*Assumptions!$B$3</f>
        <v/>
      </c>
      <c r="D5" s="7">
        <f>(20)/160*Assumptions!$B$3</f>
        <v/>
      </c>
      <c r="E5" s="3" t="inlineStr">
        <is>
          <t>Pilot adds a loader and about a week of on-site and report work; workspace support 20 h a year</t>
        </is>
      </c>
    </row>
    <row r="6">
      <c r="A6" s="3" t="inlineStr">
        <is>
          <t>Review (contract engineer)</t>
        </is>
      </c>
      <c r="B6" s="7">
        <f>Assumptions!$B$17*Assumptions!$B$6</f>
        <v/>
      </c>
      <c r="C6" s="7">
        <f>3*Assumptions!$B$17*Assumptions!$B$6</f>
        <v/>
      </c>
      <c r="D6" s="7">
        <f>0</f>
        <v/>
      </c>
      <c r="E6" s="3" t="inlineStr">
        <is>
          <t>Workspace customers review their own studies</t>
        </is>
      </c>
    </row>
    <row r="7">
      <c r="A7" s="3" t="inlineStr">
        <is>
          <t>Sales time (founder cost)</t>
        </is>
      </c>
      <c r="B7" s="7">
        <f>Assumptions!$B$18/160*Assumptions!$B$3</f>
        <v/>
      </c>
      <c r="C7" s="7">
        <f>40/160*Assumptions!$B$3</f>
        <v/>
      </c>
      <c r="D7" s="7">
        <f>16/160*Assumptions!$B$3</f>
        <v/>
      </c>
      <c r="E7" s="3" t="inlineStr">
        <is>
          <t>A pilot takes about a week of selling across the procurement cycle</t>
        </is>
      </c>
    </row>
    <row r="8">
      <c r="A8" s="8" t="inlineStr">
        <is>
          <t>Cost of delivery</t>
        </is>
      </c>
      <c r="B8" s="7">
        <f>SUM(B3:B7)</f>
        <v/>
      </c>
      <c r="C8" s="7">
        <f>SUM(C3:C7)</f>
        <v/>
      </c>
      <c r="D8" s="7">
        <f>SUM(D3:D7)</f>
        <v/>
      </c>
      <c r="E8" s="3" t="n"/>
    </row>
    <row r="9">
      <c r="A9" s="8" t="inlineStr">
        <is>
          <t>Gross margin</t>
        </is>
      </c>
      <c r="B9" s="9">
        <f>(B2-B8)/B2</f>
        <v/>
      </c>
      <c r="C9" s="9">
        <f>(C2-C8)/C2</f>
        <v/>
      </c>
      <c r="D9" s="9">
        <f>(D2-D8)/D2</f>
        <v/>
      </c>
      <c r="E9" s="3" t="n"/>
    </row>
    <row r="10">
      <c r="A10" s="8" t="inlineStr">
        <is>
          <t>What the customer pays today for the same work</t>
        </is>
      </c>
      <c r="B10" s="7">
        <f>Assumptions!$B$26*Assumptions!$B$27*Assumptions!$B$28</f>
        <v/>
      </c>
      <c r="C10" s="3" t="n"/>
      <c r="D10" s="3" t="n"/>
      <c r="E10" s="3" t="inlineStr">
        <is>
          <t>Two weeks of a senior modeler at a blended $200 per hour; the study price is a fraction of it, which is the wedge</t>
        </is>
      </c>
    </row>
    <row r="11">
      <c r="A11" s="8" t="inlineStr">
        <is>
          <t>Customer saving per study</t>
        </is>
      </c>
      <c r="B11" s="7">
        <f>B10-B2</f>
        <v/>
      </c>
      <c r="C11" s="3" t="n"/>
      <c r="D11" s="3" t="n"/>
      <c r="E1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00" customWidth="1" min="3" max="3"/>
  </cols>
  <sheetData>
    <row r="1">
      <c r="A1" s="1" t="inlineStr">
        <is>
          <t>Item</t>
        </is>
      </c>
      <c r="B1" s="1" t="inlineStr">
        <is>
          <t>Per corridor</t>
        </is>
      </c>
      <c r="C1" s="1" t="inlineStr">
        <is>
          <t>Note</t>
        </is>
      </c>
    </row>
    <row r="2">
      <c r="A2" s="3" t="inlineStr">
        <is>
          <t>Corridor length (miles)</t>
        </is>
      </c>
      <c r="B2" s="7">
        <f>Assumptions!$B$30</f>
        <v/>
      </c>
      <c r="C2" s="3" t="inlineStr"/>
    </row>
    <row r="3">
      <c r="A3" s="3" t="inlineStr">
        <is>
          <t>Radar sites</t>
        </is>
      </c>
      <c r="B3" s="7">
        <f>B2*Assumptions!$B$31</f>
        <v/>
      </c>
      <c r="C3" s="3" t="inlineStr">
        <is>
          <t>Half-mile spacing, both directions</t>
        </is>
      </c>
    </row>
    <row r="4">
      <c r="A4" s="3" t="inlineStr">
        <is>
          <t>Sensing capital (radar, installed)</t>
        </is>
      </c>
      <c r="B4" s="7">
        <f>B3*Assumptions!$B$32</f>
        <v/>
      </c>
      <c r="C4" s="3" t="inlineStr">
        <is>
          <t>ITS Costs Database range; existing poles cut it in half</t>
        </is>
      </c>
    </row>
    <row r="5">
      <c r="A5" s="3" t="inlineStr">
        <is>
          <t>Sensing O&amp;M per year</t>
        </is>
      </c>
      <c r="B5" s="7">
        <f>B3*Assumptions!$B$33</f>
        <v/>
      </c>
      <c r="C5" s="3" t="inlineStr"/>
    </row>
    <row r="6">
      <c r="A6" s="3" t="inlineStr">
        <is>
          <t>Probe data feed per year (alternative or complement to radar)</t>
        </is>
      </c>
      <c r="B6" s="7">
        <f>B2*Assumptions!$B$34</f>
        <v/>
      </c>
      <c r="C6" s="3" t="inlineStr">
        <is>
          <t>Buy speeds instead of installing sensors where the agency already licenses probe data</t>
        </is>
      </c>
    </row>
    <row r="7">
      <c r="A7" s="3" t="inlineStr">
        <is>
          <t>Edge compute and comms per year</t>
        </is>
      </c>
      <c r="B7" s="7">
        <f>12*Assumptions!$B$35</f>
        <v/>
      </c>
      <c r="C7" s="3" t="inlineStr"/>
    </row>
    <row r="8">
      <c r="A8" s="3" t="inlineStr">
        <is>
          <t>New gantries (only if the corridor has none)</t>
        </is>
      </c>
      <c r="B8" s="7">
        <f>Assumptions!$B$37*Assumptions!$B$36</f>
        <v/>
      </c>
      <c r="C8" s="3" t="inlineStr">
        <is>
          <t>The SMART Corridor spent about $0.7M to $1M per gantry; the software path avoids this by using existing signs or connected-vehicle channels</t>
        </is>
      </c>
    </row>
    <row r="9">
      <c r="A9" s="3" t="inlineStr">
        <is>
          <t>Capital, corridor with existing signs</t>
        </is>
      </c>
      <c r="B9" s="7">
        <f>B4+B8</f>
        <v/>
      </c>
      <c r="C9" s="3" t="inlineStr"/>
    </row>
    <row r="10">
      <c r="A10" s="3" t="inlineStr">
        <is>
          <t>Operating cost per year</t>
        </is>
      </c>
      <c r="B10" s="7">
        <f>B5+B7+B6</f>
        <v/>
      </c>
      <c r="C10" s="3" t="inlineStr">
        <is>
          <t>Radar O&amp;M plus probe feed plus compute (drop the probe feed if radar alone)</t>
        </is>
      </c>
    </row>
    <row r="11">
      <c r="A11" s="3" t="inlineStr">
        <is>
          <t>FlowState subscription per year</t>
        </is>
      </c>
      <c r="B11" s="7">
        <f>Assumptions!$B$38</f>
        <v/>
      </c>
      <c r="C11" s="3" t="inlineStr">
        <is>
          <t>Hypothesis</t>
        </is>
      </c>
    </row>
    <row r="12">
      <c r="A12" s="3" t="inlineStr">
        <is>
          <t>FlowState cost to serve per year (hosting, estimator, one engineer-week a quarter)</t>
        </is>
      </c>
      <c r="B12" s="7">
        <f>12*Assumptions!$B$11+4*40/160*Assumptions!$B$3</f>
        <v/>
      </c>
      <c r="C12" s="3" t="inlineStr"/>
    </row>
    <row r="13">
      <c r="A13" s="3" t="inlineStr">
        <is>
          <t>Gross margin on the subscription</t>
        </is>
      </c>
      <c r="B13" s="9">
        <f>(B11-B12)/B11</f>
        <v/>
      </c>
      <c r="C13" s="3" t="inlineStr"/>
    </row>
    <row r="14">
      <c r="A14" s="3" t="inlineStr">
        <is>
          <t>Agency's first-year outlay (capital + operating + subscription)</t>
        </is>
      </c>
      <c r="B14" s="7">
        <f>B9+B10+B11</f>
        <v/>
      </c>
      <c r="C14" s="3" t="inlineStr">
        <is>
          <t>Who pays for sensing is the deal structure question</t>
        </is>
      </c>
    </row>
    <row r="15">
      <c r="A15" s="3" t="inlineStr">
        <is>
          <t>One-time build to reach a first live corridor (FlowState side)</t>
        </is>
      </c>
      <c r="B15" s="7">
        <f>Assumptions!$B$39*Assumptions!$B$3</f>
        <v/>
      </c>
      <c r="C15" s="3" t="inlineStr">
        <is>
          <t>Estimator tier, ingestion, advisory interface, approvals</t>
        </is>
      </c>
    </row>
    <row r="16">
      <c r="A16" s="3" t="n"/>
      <c r="B16" s="3" t="n"/>
      <c r="C16" s="3" t="n"/>
    </row>
    <row r="17">
      <c r="A17" s="3" t="inlineStr">
        <is>
          <t>What Path B is: sensors or probe data feed a live state estimate of the corridor; the calibrated twin turns it into a recommended speed per segment until the wave clears; the advisory reaches drivers through the agency's signs or a connected-vehicle channel run by a partner, never a consumer app of ours (CLAUDE.md section 0.4). It is a subscription, not a study, and its cost is dominated by the agency's sensing, not by us.</t>
        </is>
      </c>
      <c r="B17" s="3" t="n"/>
      <c r="C17" s="3" t="n"/>
    </row>
    <row r="18">
      <c r="A18" s="3" t="inlineStr">
        <is>
          <t>What it needs first: the state-estimation tier (designed, not built), a validated corridor twin, and one agency willing to connect its sensors. Price it under the agency's probe-data spend and one engineer-month a year.</t>
        </is>
      </c>
      <c r="B18" s="3" t="n"/>
      <c r="C18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16" customWidth="1" min="3" max="3"/>
    <col width="16" customWidth="1" min="4" max="4"/>
    <col width="90" customWidth="1" min="5" max="5"/>
  </cols>
  <sheetData>
    <row r="1">
      <c r="A1" s="1" t="inlineStr">
        <is>
          <t>Line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Note</t>
        </is>
      </c>
    </row>
    <row r="2">
      <c r="A2" s="2" t="inlineStr">
        <is>
          <t>REVENUE, PATH A</t>
        </is>
      </c>
      <c r="B2" s="3" t="n"/>
      <c r="C2" s="3" t="n"/>
      <c r="D2" s="3" t="n"/>
      <c r="E2" s="3" t="n"/>
    </row>
    <row r="3">
      <c r="A3" s="3" t="inlineStr">
        <is>
          <t>Corridor studies</t>
        </is>
      </c>
      <c r="B3" s="7">
        <f>Assumptions!$B$41*Assumptions!$B$20</f>
        <v/>
      </c>
      <c r="C3" s="7">
        <f>Assumptions!$B$42*Assumptions!$B$20</f>
        <v/>
      </c>
      <c r="D3" s="7">
        <f>Assumptions!$B$43*Assumptions!$B$20</f>
        <v/>
      </c>
      <c r="E3" s="3" t="n"/>
    </row>
    <row r="4">
      <c r="A4" s="3" t="inlineStr">
        <is>
          <t>Agency pilots</t>
        </is>
      </c>
      <c r="B4" s="7">
        <f>Assumptions!$B$44*Assumptions!$B$21</f>
        <v/>
      </c>
      <c r="C4" s="7">
        <f>Assumptions!$B$45*Assumptions!$B$21</f>
        <v/>
      </c>
      <c r="D4" s="7">
        <f>Assumptions!$B$46*Assumptions!$B$21</f>
        <v/>
      </c>
      <c r="E4" s="3" t="n"/>
    </row>
    <row r="5">
      <c r="A5" s="3" t="inlineStr">
        <is>
          <t>Workspaces</t>
        </is>
      </c>
      <c r="B5" s="7">
        <f>Assumptions!$B$47*Assumptions!$B$22</f>
        <v/>
      </c>
      <c r="C5" s="7">
        <f>Assumptions!$B$48*Assumptions!$B$22</f>
        <v/>
      </c>
      <c r="D5" s="7">
        <f>Assumptions!$B$49*Assumptions!$B$22</f>
        <v/>
      </c>
      <c r="E5" s="3" t="n"/>
    </row>
    <row r="6">
      <c r="A6" s="3" t="inlineStr">
        <is>
          <t>Lab licences</t>
        </is>
      </c>
      <c r="B6" s="7">
        <f>Assumptions!$B$50*Assumptions!$B$23</f>
        <v/>
      </c>
      <c r="C6" s="7">
        <f>Assumptions!$B$51*Assumptions!$B$23</f>
        <v/>
      </c>
      <c r="D6" s="7">
        <f>Assumptions!$B$52*Assumptions!$B$23</f>
        <v/>
      </c>
      <c r="E6" s="3" t="n"/>
    </row>
    <row r="7">
      <c r="A7" s="2" t="inlineStr">
        <is>
          <t>REVENUE, PATH B</t>
        </is>
      </c>
      <c r="B7" s="3" t="n"/>
      <c r="C7" s="3" t="n"/>
      <c r="D7" s="3" t="n"/>
      <c r="E7" s="3" t="n"/>
    </row>
    <row r="8">
      <c r="A8" s="3" t="inlineStr">
        <is>
          <t>Live-advisory subscriptions</t>
        </is>
      </c>
      <c r="B8" s="7">
        <f>Assumptions!$B$53*Assumptions!$B$38</f>
        <v/>
      </c>
      <c r="C8" s="7">
        <f>Assumptions!$B$54*Assumptions!$B$38</f>
        <v/>
      </c>
      <c r="D8" s="7">
        <f>Assumptions!$B$55*Assumptions!$B$38</f>
        <v/>
      </c>
      <c r="E8" s="3" t="n"/>
    </row>
    <row r="9">
      <c r="A9" s="8" t="inlineStr">
        <is>
          <t>Total revenue</t>
        </is>
      </c>
      <c r="B9" s="7">
        <f>SUM(B3:B6)+B8</f>
        <v/>
      </c>
      <c r="C9" s="7">
        <f>SUM(C3:C6)+C8</f>
        <v/>
      </c>
      <c r="D9" s="7">
        <f>SUM(D3:D6)+D8</f>
        <v/>
      </c>
      <c r="E9" s="3" t="n"/>
    </row>
    <row r="10">
      <c r="A10" s="2" t="inlineStr">
        <is>
          <t>COST OF DELIVERY</t>
        </is>
      </c>
      <c r="B10" s="3" t="n"/>
      <c r="C10" s="3" t="n"/>
      <c r="D10" s="3" t="n"/>
      <c r="E10" s="3" t="n"/>
    </row>
    <row r="11">
      <c r="A11" s="3" t="inlineStr">
        <is>
          <t>Studies (cloud, storage, review, engineer time)</t>
        </is>
      </c>
      <c r="B11" s="7">
        <f>Assumptions!$B$41*'Unit economics A'!$B$8</f>
        <v/>
      </c>
      <c r="C11" s="7">
        <f>Assumptions!$B$42*'Unit economics A'!$B$8</f>
        <v/>
      </c>
      <c r="D11" s="7">
        <f>Assumptions!$B$43*'Unit economics A'!$B$8</f>
        <v/>
      </c>
      <c r="E11" s="3" t="n"/>
    </row>
    <row r="12">
      <c r="A12" s="3" t="inlineStr">
        <is>
          <t>Pilots</t>
        </is>
      </c>
      <c r="B12" s="7">
        <f>Assumptions!$B$44*'Unit economics A'!$C$8</f>
        <v/>
      </c>
      <c r="C12" s="7">
        <f>Assumptions!$B$45*'Unit economics A'!$C$8</f>
        <v/>
      </c>
      <c r="D12" s="7">
        <f>Assumptions!$B$46*'Unit economics A'!$C$8</f>
        <v/>
      </c>
      <c r="E12" s="3" t="n"/>
    </row>
    <row r="13">
      <c r="A13" s="3" t="inlineStr">
        <is>
          <t>Workspaces</t>
        </is>
      </c>
      <c r="B13" s="7">
        <f>Assumptions!$B$47*'Unit economics A'!$D$8</f>
        <v/>
      </c>
      <c r="C13" s="7">
        <f>Assumptions!$B$48*'Unit economics A'!$D$8</f>
        <v/>
      </c>
      <c r="D13" s="7">
        <f>Assumptions!$B$49*'Unit economics A'!$D$8</f>
        <v/>
      </c>
      <c r="E13" s="3" t="n"/>
    </row>
    <row r="14">
      <c r="A14" s="3" t="inlineStr">
        <is>
          <t>Live-advisory cost to serve</t>
        </is>
      </c>
      <c r="B14" s="7">
        <f>Assumptions!$B$53*'Path B live advisory'!$B$12</f>
        <v/>
      </c>
      <c r="C14" s="7">
        <f>Assumptions!$B$54*'Path B live advisory'!$B$12</f>
        <v/>
      </c>
      <c r="D14" s="7">
        <f>Assumptions!$B$55*'Path B live advisory'!$B$12</f>
        <v/>
      </c>
      <c r="E14" s="3" t="n"/>
    </row>
    <row r="15">
      <c r="A15" s="8" t="inlineStr">
        <is>
          <t>Gross profit</t>
        </is>
      </c>
      <c r="B15" s="7">
        <f>B9-SUM(B11:B14)</f>
        <v/>
      </c>
      <c r="C15" s="7">
        <f>C9-SUM(C11:C14)</f>
        <v/>
      </c>
      <c r="D15" s="7">
        <f>D9-SUM(D11:D14)</f>
        <v/>
      </c>
      <c r="E15" s="3" t="n"/>
    </row>
    <row r="16">
      <c r="A16" s="2" t="inlineStr">
        <is>
          <t>OPERATING COST</t>
        </is>
      </c>
      <c r="B16" s="3" t="n"/>
      <c r="C16" s="3" t="n"/>
      <c r="D16" s="3" t="n"/>
      <c r="E16" s="3" t="n"/>
    </row>
    <row r="17">
      <c r="A17" s="3" t="inlineStr">
        <is>
          <t>People (engineering + customer founder)</t>
        </is>
      </c>
      <c r="B17" s="7">
        <f>12*(Assumptions!$B$4+Assumptions!$B$5)*Assumptions!$B$3</f>
        <v/>
      </c>
      <c r="C17" s="7">
        <f>12*(Assumptions!$B$4+Assumptions!$B$5+1)*Assumptions!$B$3</f>
        <v/>
      </c>
      <c r="D17" s="7">
        <f>12*(Assumptions!$B$4+Assumptions!$B$5+3)*Assumptions!$B$3</f>
        <v/>
      </c>
      <c r="E17" s="3" t="n"/>
    </row>
    <row r="18">
      <c r="A18" s="3" t="inlineStr">
        <is>
          <t>Shared infrastructure</t>
        </is>
      </c>
      <c r="B18" s="7">
        <f>12*Assumptions!$B$12</f>
        <v/>
      </c>
      <c r="C18" s="7">
        <f>12*Assumptions!$B$12</f>
        <v/>
      </c>
      <c r="D18" s="7">
        <f>12*Assumptions!$B$12</f>
        <v/>
      </c>
      <c r="E18" s="3" t="n"/>
    </row>
    <row r="19">
      <c r="A19" s="3" t="inlineStr">
        <is>
          <t>Build programme cloud (from Cost to build)</t>
        </is>
      </c>
      <c r="B19" s="7">
        <f>'Cost to build'!E2+'Cost to build'!E3+'Cost to build'!E4</f>
        <v/>
      </c>
      <c r="C19" s="7">
        <f>'Cost to build'!E5+'Cost to build'!E6+'Cost to build'!E7*0.5</f>
        <v/>
      </c>
      <c r="D19" s="7">
        <f>'Cost to build'!E7*0.5</f>
        <v/>
      </c>
      <c r="E19" s="3" t="n"/>
    </row>
    <row r="20">
      <c r="A20" s="3" t="inlineStr">
        <is>
          <t>Travel, conferences, legal, insurance</t>
        </is>
      </c>
      <c r="B20" s="4" t="n">
        <v>6000</v>
      </c>
      <c r="C20" s="4" t="n">
        <v>15000</v>
      </c>
      <c r="D20" s="4" t="n">
        <v>30000</v>
      </c>
      <c r="E20" s="3" t="n"/>
    </row>
    <row r="21">
      <c r="A21" s="8" t="inlineStr">
        <is>
          <t>Operating profit</t>
        </is>
      </c>
      <c r="B21" s="7">
        <f>B15-SUM(B17:B20)</f>
        <v/>
      </c>
      <c r="C21" s="7">
        <f>C15-SUM(C17:C20)</f>
        <v/>
      </c>
      <c r="D21" s="7">
        <f>D15-SUM(D17:D20)</f>
        <v/>
      </c>
      <c r="E21" s="3" t="n"/>
    </row>
    <row r="22">
      <c r="A22" s="8" t="inlineStr">
        <is>
          <t>Cumulative cash need</t>
        </is>
      </c>
      <c r="B22" s="7">
        <f>MIN(0,B21)</f>
        <v/>
      </c>
      <c r="C22" s="7">
        <f>B22+MIN(0,C21)</f>
        <v/>
      </c>
      <c r="D22" s="7">
        <f>C22+MIN(0,D21)</f>
        <v/>
      </c>
      <c r="E22" s="3" t="n"/>
    </row>
    <row r="23">
      <c r="A23" s="3" t="n"/>
      <c r="B23" s="3" t="n"/>
      <c r="C23" s="3" t="n"/>
      <c r="D23" s="3" t="n"/>
      <c r="E23" s="3" t="n"/>
    </row>
    <row r="24">
      <c r="A24" s="3" t="inlineStr">
        <is>
          <t>Base case volumes live on the Assumptions sheet; change them there. Year-one revenue is tens of thousands of dollars, which matches the dossier's own sizing; the model is not a forecast, it is the arithmetic the conversation should test.</t>
        </is>
      </c>
      <c r="B24" s="3" t="n"/>
      <c r="C24" s="3" t="n"/>
      <c r="D24" s="3" t="n"/>
      <c r="E24" s="3" t="n"/>
    </row>
    <row r="25">
      <c r="A25" s="3" t="inlineStr">
        <is>
          <t>Scenario guide: conservative = halve every volume; upside = double year-2 and year-3 studies and add two live corridors in year 3. Both are one edit each on the Assumptions sheet.</t>
        </is>
      </c>
      <c r="B25" s="3" t="n"/>
      <c r="C25" s="3" t="n"/>
      <c r="D25" s="3" t="n"/>
      <c r="E2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90" customWidth="1" min="1" max="1"/>
    <col width="110" customWidth="1" min="2" max="2"/>
  </cols>
  <sheetData>
    <row r="1">
      <c r="A1" s="1" t="inlineStr">
        <is>
          <t>Anchor</t>
        </is>
      </c>
      <c r="B1" s="1" t="inlineStr">
        <is>
          <t>Source</t>
        </is>
      </c>
    </row>
    <row r="2">
      <c r="A2" s="3" t="inlineStr">
        <is>
          <t>Cloud cost $1.55 per hour, 32 vCPUs; studies 1.5 to 3.4 machine hours; sweeps 2.8 to 7 hours</t>
        </is>
      </c>
      <c r="B2" s="3" t="inlineStr">
        <is>
          <t>FlowState repository, scripts/gcp/README.md and docs/I24_SWEEP.md (measured, September 2026)</t>
        </is>
      </c>
    </row>
    <row r="3">
      <c r="A3" s="3" t="inlineStr">
        <is>
          <t>Consultant rates: Engineer I $115 to $127, Engineer II $141 to $155, Chief Planner $226 to $250 per hour</t>
        </is>
      </c>
      <c r="B3" s="3" t="inlineStr">
        <is>
          <t>HNTB Corporation consultant fee schedule (Wisconsin Division of Facilities Development, 2009-10 rate sheet; 2024 schedules on file with California cities such as Chula Vista for Kimley-Horn)</t>
        </is>
      </c>
    </row>
    <row r="4">
      <c r="A4" s="3" t="inlineStr">
        <is>
          <t>Two weeks of expert calibration per corridor; rejected reports are common</t>
        </is>
      </c>
      <c r="B4" s="3" t="inlineStr">
        <is>
          <t>FlowState technical dossier section 7.1; FHWA Traffic Analysis Toolbox Volume III, 2019 update (FHWA-HOP-18-036)</t>
        </is>
      </c>
    </row>
    <row r="5">
      <c r="A5" s="3" t="inlineStr">
        <is>
          <t>Radar detector site $5,000 (existing pole) to $11,500 (new pole)</t>
        </is>
      </c>
      <c r="B5" s="3" t="inlineStr">
        <is>
          <t>USDOT ITS Costs Database, Roadside Detection, Remote Traffic Microwave Sensor on Corridor (itscosts.its.dot.gov / itskrs.its.dot.gov)</t>
        </is>
      </c>
    </row>
    <row r="6">
      <c r="A6" s="3" t="inlineStr">
        <is>
          <t>Probe data: about $750 per centreline mile (I-95 Corridor Coalition original contract); $250,000 statewide (Michigan); INRIX at about 25 percent of NCDOT's previous $50,000 per mile life-cycle cost</t>
        </is>
      </c>
      <c r="B6" s="3" t="inlineStr">
        <is>
          <t>USDOT ITS Knowledge Resources 2014-SC00327; INRIX press releases</t>
        </is>
      </c>
    </row>
    <row r="7">
      <c r="A7" s="3" t="inlineStr">
        <is>
          <t>I-24 SMART Corridor: 67 gantries at half-mile spacing between mile markers 53 and 70; reported cost $45M to $64M</t>
        </is>
      </c>
      <c r="B7" s="3" t="inlineStr">
        <is>
          <t>Tennessee DOT project page; NewsChannel 5 and WKRN reports; Roads and Bridges</t>
        </is>
      </c>
    </row>
    <row r="8">
      <c r="A8" s="3" t="inlineStr">
        <is>
          <t>400+ MPOs; 52 state DOTs</t>
        </is>
      </c>
      <c r="B8" s="3" t="inlineStr">
        <is>
          <t>AMPO MPO 101 brief; FHWA</t>
        </is>
      </c>
    </row>
    <row r="9">
      <c r="A9" s="3" t="inlineStr">
        <is>
          <t>Price hypotheses: $1,500 to $5,000 per study; $10,000 to $30,000 workspace; $25,000 to $75,000 pilot; $2,000 to $5,000 per data format</t>
        </is>
      </c>
      <c r="B9" s="3" t="inlineStr">
        <is>
          <t>FlowState technical dossier section 8.1 (hypotheses to test in interviews)</t>
        </is>
      </c>
    </row>
    <row r="10">
      <c r="A10" s="3" t="inlineStr">
        <is>
          <t>Commercial simulator licences are five figures per seat</t>
        </is>
      </c>
      <c r="B10" s="3" t="inlineStr">
        <is>
          <t>Vendor pricing is not public (PTV pricing page); dossier estimate from practitioner reports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2026-09-16T02:49:34Z</dcterms:created>
  <dcterms:modified xsi:type="dcterms:W3CDTF">2026-09-16T02:49:34Z</dcterms:modified>
</cp:coreProperties>
</file>